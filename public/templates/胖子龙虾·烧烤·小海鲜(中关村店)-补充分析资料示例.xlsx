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7129a4dee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招商资料" sheetId="1" r:id="R5b67089664f74d01"/>
    <x:sheet xmlns:r="http://schemas.openxmlformats.org/officeDocument/2006/relationships" name="测算预览" sheetId="2" r:id="Rdc30cbe7c182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yyyy-mm-dd"/>
    <x:numFmt numFmtId="202" formatCode="0.0"/>
    <x:numFmt numFmtId="203" formatCode="#,##0.0"/>
    <x:numFmt numFmtId="204" formatCode="0.0%"/>
  </x:numFmts>
  <x:fonts count="20">
    <x:font>
      <x:sz val="11"/>
      <x:name val="Carlito"/>
    </x:font>
    <x:font>
      <x:b/>
      <x:sz val="18"/>
      <x:color rgb="FFFFFFFF"/>
      <x:name val="Carlito"/>
    </x:font>
    <x:font>
      <x:sz val="10"/>
      <x:color rgb="FF183B34"/>
      <x:name val="Carlito"/>
    </x:font>
    <x:font>
      <x:b/>
      <x:sz val="10"/>
      <x:color rgb="FF183B34"/>
      <x:name val="Carlito"/>
    </x:font>
    <x:font>
      <x:i/>
      <x:sz val="9"/>
      <x:color rgb="FF64777D"/>
      <x:name val="Carlito"/>
    </x:font>
    <x:font>
      <x:b/>
      <x:sz val="11"/>
      <x:color rgb="FFFFFFFF"/>
      <x:name val="Carlito"/>
    </x:font>
    <x:font>
      <x:sz val="9"/>
      <x:color rgb="FF64777D"/>
      <x:name val="Carlito"/>
    </x:font>
    <x:font>
      <x:b/>
      <x:sz val="18"/>
      <x:color rgb="FFFFFFFF"/>
      <x:name val="Microsoft YaHei"/>
    </x:font>
    <x:font>
      <x:sz val="10"/>
      <x:color rgb="FF183B34"/>
      <x:name val="Microsoft YaHei"/>
    </x:font>
    <x:font>
      <x:b/>
      <x:sz val="10"/>
      <x:color rgb="FF183B34"/>
      <x:name val="Microsoft YaHei"/>
    </x:font>
    <x:font>
      <x:i/>
      <x:sz val="9"/>
      <x:color rgb="FF64777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9"/>
      <x:color rgb="FF64777D"/>
      <x:name val="Microsoft YaHei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sz val="11"/>
      <x:color rgb="FF183B34"/>
      <x:name val="Carlito"/>
    </x:font>
    <x:font>
      <x:b/>
      <x:sz val="17"/>
      <x:color rgb="FFFFFFFF"/>
      <x:name val="Microsoft YaHei"/>
    </x:font>
    <x:font>
      <x:b/>
      <x:sz val="10"/>
      <x:color rgb="FFFFFFFF"/>
      <x:name val="Microsoft YaHei"/>
    </x:font>
    <x:font>
      <x:sz val="11"/>
      <x:color rgb="FF183B34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E7E6D"/>
      </x:patternFill>
    </x:fill>
    <x:fill>
      <x:patternFill patternType="solid">
        <x:fgColor rgb="FFE8F5F1"/>
      </x:patternFill>
    </x:fill>
    <x:fill>
      <x:patternFill patternType="solid">
        <x:fgColor rgb="FFF5F8F7"/>
      </x:patternFill>
    </x:fill>
    <x:fill>
      <x:patternFill patternType="solid">
        <x:fgColor rgb="FF183B34"/>
      </x:patternFill>
    </x:fill>
    <x:fill>
      <x:patternFill patternType="solid">
        <x:fgColor rgb="FFFFF5CF"/>
      </x:patternFill>
    </x:fill>
  </x:fills>
  <x:borders count="1">
    <x:border/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200" fontId="2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1" fontId="2" fillId="6" borderId="0" xfId="0" applyNumberFormat="1" applyFont="1" applyFill="1" applyBorder="1" applyAlignment="1">
      <x:alignment vertical="center"/>
    </x:xf>
    <x:xf numFmtId="202" fontId="2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201" fontId="8" fillId="6" borderId="0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0" fontId="8" fillId="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201" fontId="8" fillId="6" borderId="0" xfId="0" applyNumberFormat="1" applyFont="1" applyFill="1" applyBorder="1" applyAlignment="1">
      <x:alignment vertical="center" wrapText="1"/>
    </x:xf>
    <x:xf numFmtId="202" fontId="8" fillId="6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16" fillId="4" borderId="0" xfId="0" applyNumberFormat="1" applyFont="1" applyFill="1" applyBorder="1"/>
    <x:xf numFmtId="203" fontId="16" fillId="4" borderId="0" xfId="0" applyNumberFormat="1" applyFont="1" applyFill="1" applyBorder="1"/>
    <x:xf numFmtId="204" fontId="16" fillId="4" borderId="0" xfId="0" applyNumberFormat="1" applyFont="1" applyFill="1" applyBorder="1"/>
    <x:xf numFmtId="0" fontId="1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/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12" fillId="5" borderId="0" xfId="0" applyNumberFormat="1" applyFont="1" applyFill="1" applyBorder="1"/>
    <x:xf numFmtId="0" fontId="19" fillId="4" borderId="0" xfId="0" applyNumberFormat="1" applyFont="1" applyFill="1" applyBorder="1"/>
    <x:xf numFmtId="203" fontId="19" fillId="4" borderId="0" xfId="0" applyNumberFormat="1" applyFont="1" applyFill="1" applyBorder="1"/>
    <x:xf numFmtId="204" fontId="19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de390affd4990" /><Relationship Type="http://schemas.openxmlformats.org/officeDocument/2006/relationships/theme" Target="/xl/theme/theme1.xml" Id="R25b97a39f4dd4965" /><Relationship Type="http://schemas.openxmlformats.org/officeDocument/2006/relationships/sharedStrings" Target="/xl/sharedStrings.xml" Id="R92209ce1b4104753" /><Relationship Type="http://schemas.openxmlformats.org/officeDocument/2006/relationships/worksheet" Target="/xl/worksheets/sheet1.xml" Id="R5b67089664f74d01" /><Relationship Type="http://schemas.openxmlformats.org/officeDocument/2006/relationships/worksheet" Target="/xl/worksheets/sheet2.xml" Id="Rdc30cbe7c18244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6" hidden="0" customWidth="1"/>
    <x:col min="4" max="4" width="52" hidden="0" customWidth="1"/>
  </x:cols>
  <x:sheetData>
    <x:row r="1" ht="36" customHeight="1">
      <x:c r="A1" s="39" t="str">
        <x:v>胖子龙虾·烧烤·小海鲜（中关村店）补充分析资料</x:v>
      </x:c>
      <x:c r="B1" s="39"/>
      <x:c r="C1" s="39"/>
      <x:c r="D1" s="39"/>
    </x:row>
    <x:row r="2" ht="30" customHeight="1">
      <x:c r="A2" s="26" t="str">
        <x:v>已填写招商测算示例：所有数据均为分析假设，非品牌官方或门店真实经营数据，可直接上传网站演示。</x:v>
      </x:c>
      <x:c r="B2" s="26"/>
      <x:c r="C2" s="26"/>
      <x:c r="D2" s="26"/>
    </x:row>
    <x:row r="3">
      <x:c r="A3" s="40" t="str">
        <x:v>模板版本</x:v>
      </x:c>
      <x:c r="B3" s="41" t="str">
        <x:v>1.0</x:v>
      </x:c>
      <x:c r="C3" s="40" t="str">
        <x:v>资料完整度</x:v>
      </x:c>
      <x:c r="D3" s="42" t="n">
        <x:f>ROUND((COUNTA(B9:B10)+COUNTA(B12:B15)+COUNTA(B20:B26))/13,2)</x:f>
        <x:v>1</x:v>
      </x:c>
    </x:row>
    <x:row r="4">
      <x:c r="A4" s="40" t="str">
        <x:v>候选商户</x:v>
      </x:c>
      <x:c r="B4" s="41" t="str">
        <x:f>IF(B9="","待填写",B9)</x:f>
        <x:v>胖子龙虾·烧烤·小海鲜(中关村店)</x:v>
      </x:c>
      <x:c r="C4" s="40" t="str">
        <x:v>校验状态</x:v>
      </x:c>
      <x:c r="D4" s="41" t="str">
        <x:f>IF(D3=1,"可上传","仍有必填项")</x:f>
        <x:v>可上传</x:v>
      </x:c>
    </x:row>
    <x:row r="5">
      <x:c r="A5" s="30" t="str">
        <x:v>安全说明：此模板上传后仅在当前浏览器中解析，不会回写或修改飞书数据。</x:v>
      </x:c>
      <x:c r="B5" s="30"/>
      <x:c r="C5" s="30"/>
      <x:c r="D5" s="30"/>
    </x:row>
    <x:row r="6">
      <x:c r="A6" s="43"/>
      <x:c r="B6" s="43"/>
      <x:c r="C6" s="43"/>
      <x:c r="D6" s="43"/>
    </x:row>
    <x:row r="7" ht="25" customHeight="1">
      <x:c r="A7" s="44" t="str">
        <x:v>一、基础信息</x:v>
      </x:c>
      <x:c r="B7" s="44"/>
      <x:c r="C7" s="44"/>
      <x:c r="D7" s="44"/>
    </x:row>
    <x:row r="8">
      <x:c r="A8" s="45" t="str">
        <x:v>字段</x:v>
      </x:c>
      <x:c r="B8" s="45" t="str">
        <x:v>填写内容</x:v>
      </x:c>
      <x:c r="C8" s="45" t="str">
        <x:v>单位/格式</x:v>
      </x:c>
      <x:c r="D8" s="45" t="str">
        <x:v>填写说明</x:v>
      </x:c>
    </x:row>
    <x:row r="9" ht="34" customHeight="1">
      <x:c r="A9" s="46" t="str">
        <x:v>候选商户名称*</x:v>
      </x:c>
      <x:c r="B9" s="47" t="str">
        <x:v>胖子龙虾·烧烤·小海鲜(中关村店)</x:v>
      </x:c>
      <x:c r="C9" s="46" t="str">
        <x:v>文本</x:v>
      </x:c>
      <x:c r="D9" s="36" t="str">
        <x:v>需与网站当前候选商户名称一致</x:v>
      </x:c>
    </x:row>
    <x:row r="10">
      <x:c r="A10" s="46" t="str">
        <x:v>品牌联系人*</x:v>
      </x:c>
      <x:c r="B10" s="47" t="str">
        <x:v>王经理（演示联系人）</x:v>
      </x:c>
      <x:c r="C10" s="46" t="str">
        <x:v>文本</x:v>
      </x:c>
      <x:c r="D10" s="36" t="str">
        <x:v>品牌拓展或招商主管</x:v>
      </x:c>
    </x:row>
    <x:row r="11">
      <x:c r="A11" s="46" t="str">
        <x:v>联系电话</x:v>
      </x:c>
      <x:c r="B11" s="47" t="str">
        <x:v>138-0000-0000（演示号码）</x:v>
      </x:c>
      <x:c r="C11" s="46" t="str">
        <x:v>文本</x:v>
      </x:c>
      <x:c r="D11" s="36" t="str">
        <x:v>手机或座机</x:v>
      </x:c>
    </x:row>
    <x:row r="12">
      <x:c r="A12" s="46" t="str">
        <x:v>业态大类*</x:v>
      </x:c>
      <x:c r="B12" s="47" t="str">
        <x:v>餐饮</x:v>
      </x:c>
      <x:c r="C12" s="46" t="str">
        <x:v>下拉选择</x:v>
      </x:c>
      <x:c r="D12" s="36" t="str">
        <x:v>餐饮、服务配套、零售、休闲娱乐</x:v>
      </x:c>
    </x:row>
    <x:row r="13">
      <x:c r="A13" s="46" t="str">
        <x:v>细分业态*</x:v>
      </x:c>
      <x:c r="B13" s="47" t="str">
        <x:v>正餐</x:v>
      </x:c>
      <x:c r="C13" s="46" t="str">
        <x:v>下拉选择</x:v>
      </x:c>
      <x:c r="D13" s="36" t="str">
        <x:v>商务餐、饮品、正餐、快餐、烘焙、服务配套、零售、休闲娱乐</x:v>
      </x:c>
    </x:row>
    <x:row r="14">
      <x:c r="A14" s="46" t="str">
        <x:v>所需面积(㎡)*</x:v>
      </x:c>
      <x:c r="B14" s="47" t="n">
        <x:v>220</x:v>
      </x:c>
      <x:c r="C14" s="46" t="str">
        <x:v>数值</x:v>
      </x:c>
      <x:c r="D14" s="36" t="str">
        <x:v>品牌净使用面积需求</x:v>
      </x:c>
    </x:row>
    <x:row r="15">
      <x:c r="A15" s="46" t="str">
        <x:v>数据截止日期*</x:v>
      </x:c>
      <x:c r="B15" s="48" t="n">
        <x:v>46251</x:v>
      </x:c>
      <x:c r="C15" s="46" t="str">
        <x:v>日期</x:v>
      </x:c>
      <x:c r="D15" s="36" t="str">
        <x:v>经营数据对应日期</x:v>
      </x:c>
    </x:row>
    <x:row r="16">
      <x:c r="A16" s="46" t="str">
        <x:v>意向铺位</x:v>
      </x:c>
      <x:c r="B16" s="47" t="str">
        <x:v>B1-08</x:v>
      </x:c>
      <x:c r="C16" s="46" t="str">
        <x:v>文本</x:v>
      </x:c>
      <x:c r="D16" s="36" t="str">
        <x:v>例如 1F-07</x:v>
      </x:c>
    </x:row>
    <x:row r="17">
      <x:c r="A17" s="43"/>
      <x:c r="B17" s="43"/>
      <x:c r="C17" s="43"/>
      <x:c r="D17" s="43"/>
    </x:row>
    <x:row r="18" ht="25" customHeight="1">
      <x:c r="A18" s="44" t="str">
        <x:v>二、经营与财务数据</x:v>
      </x:c>
      <x:c r="B18" s="44"/>
      <x:c r="C18" s="44"/>
      <x:c r="D18" s="44"/>
    </x:row>
    <x:row r="19">
      <x:c r="A19" s="45" t="str">
        <x:v>字段</x:v>
      </x:c>
      <x:c r="B19" s="45" t="str">
        <x:v>填写内容</x:v>
      </x:c>
      <x:c r="C19" s="45" t="str">
        <x:v>单位/格式</x:v>
      </x:c>
      <x:c r="D19" s="45" t="str">
        <x:v>填写说明</x:v>
      </x:c>
    </x:row>
    <x:row r="20">
      <x:c r="A20" s="46" t="str">
        <x:v>保守月销售(万元)*</x:v>
      </x:c>
      <x:c r="B20" s="47" t="n">
        <x:v>65</x:v>
      </x:c>
      <x:c r="C20" s="46" t="str">
        <x:v>数值</x:v>
      </x:c>
      <x:c r="D20" s="36" t="str">
        <x:v>低于常态经营的保守情景</x:v>
      </x:c>
    </x:row>
    <x:row r="21">
      <x:c r="A21" s="46" t="str">
        <x:v>基准月销售(万元)*</x:v>
      </x:c>
      <x:c r="B21" s="47" t="n">
        <x:v>82</x:v>
      </x:c>
      <x:c r="C21" s="46" t="str">
        <x:v>数值</x:v>
      </x:c>
      <x:c r="D21" s="36" t="str">
        <x:v>成熟经营后的常态情景</x:v>
      </x:c>
    </x:row>
    <x:row r="22">
      <x:c r="A22" s="46" t="str">
        <x:v>乐观月销售(万元)*</x:v>
      </x:c>
      <x:c r="B22" s="47" t="n">
        <x:v>100</x:v>
      </x:c>
      <x:c r="C22" s="46" t="str">
        <x:v>数值</x:v>
      </x:c>
      <x:c r="D22" s="36" t="str">
        <x:v>客流和运营表现较好的情景</x:v>
      </x:c>
    </x:row>
    <x:row r="23">
      <x:c r="A23" s="46" t="str">
        <x:v>报价月租金(万元)*</x:v>
      </x:c>
      <x:c r="B23" s="47" t="n">
        <x:v>14.5</x:v>
      </x:c>
      <x:c r="C23" s="46" t="str">
        <x:v>数值</x:v>
      </x:c>
      <x:c r="D23" s="36" t="str">
        <x:v>含物业费请在备注中说明</x:v>
      </x:c>
    </x:row>
    <x:row r="24">
      <x:c r="A24" s="46" t="str">
        <x:v>毛利率(%)*</x:v>
      </x:c>
      <x:c r="B24" s="49" t="n">
        <x:v>62</x:v>
      </x:c>
      <x:c r="C24" s="46" t="str">
        <x:v>百分数</x:v>
      </x:c>
      <x:c r="D24" s="36" t="str">
        <x:v>例如 65 表示 65%</x:v>
      </x:c>
    </x:row>
    <x:row r="25">
      <x:c r="A25" s="46" t="str">
        <x:v>每月固定成本(万元)*</x:v>
      </x:c>
      <x:c r="B25" s="47" t="n">
        <x:v>29</x:v>
      </x:c>
      <x:c r="C25" s="46" t="str">
        <x:v>数值</x:v>
      </x:c>
      <x:c r="D25" s="36" t="str">
        <x:v>人工、水电、管理等，不含租金</x:v>
      </x:c>
    </x:row>
    <x:row r="26">
      <x:c r="A26" s="46" t="str">
        <x:v>装修投入(万元)*</x:v>
      </x:c>
      <x:c r="B26" s="47" t="n">
        <x:v>160</x:v>
      </x:c>
      <x:c r="C26" s="46" t="str">
        <x:v>数值</x:v>
      </x:c>
      <x:c r="D26" s="36" t="str">
        <x:v>含设备及开办投入</x:v>
      </x:c>
    </x:row>
    <x:row r="27">
      <x:c r="A27" s="46" t="str">
        <x:v>预计分流率(%)</x:v>
      </x:c>
      <x:c r="B27" s="49" t="n">
        <x:v>8</x:v>
      </x:c>
      <x:c r="C27" s="46" t="str">
        <x:v>百分数</x:v>
      </x:c>
      <x:c r="D27" s="36" t="str">
        <x:v>预计对楼内同细分业态销售影响</x:v>
      </x:c>
    </x:row>
    <x:row r="28">
      <x:c r="A28" s="46" t="str">
        <x:v>品牌目标回收期(月)</x:v>
      </x:c>
      <x:c r="B28" s="47" t="n">
        <x:v>30</x:v>
      </x:c>
      <x:c r="C28" s="46" t="str">
        <x:v>整数</x:v>
      </x:c>
      <x:c r="D28" s="36" t="str">
        <x:v>品牌内部投资回收要求</x:v>
      </x:c>
    </x:row>
    <x:row r="29">
      <x:c r="A29" s="46" t="str">
        <x:v>租金谈判底线(万元)</x:v>
      </x:c>
      <x:c r="B29" s="47" t="n">
        <x:v>12.5</x:v>
      </x:c>
      <x:c r="C29" s="46" t="str">
        <x:v>数值</x:v>
      </x:c>
      <x:c r="D29" s="36" t="str">
        <x:v>可接受的最低或目标租金</x:v>
      </x:c>
    </x:row>
    <x:row r="30">
      <x:c r="A30" s="43"/>
      <x:c r="B30" s="43"/>
      <x:c r="C30" s="43"/>
      <x:c r="D30" s="43"/>
    </x:row>
    <x:row r="31" ht="25" customHeight="1">
      <x:c r="A31" s="44" t="str">
        <x:v>三、品牌经营模型</x:v>
      </x:c>
      <x:c r="B31" s="44"/>
      <x:c r="C31" s="44"/>
      <x:c r="D31" s="44"/>
    </x:row>
    <x:row r="32">
      <x:c r="A32" s="45" t="str">
        <x:v>字段</x:v>
      </x:c>
      <x:c r="B32" s="45" t="str">
        <x:v>填写内容</x:v>
      </x:c>
      <x:c r="C32" s="45" t="str">
        <x:v>单位/格式</x:v>
      </x:c>
      <x:c r="D32" s="45" t="str">
        <x:v>填写说明</x:v>
      </x:c>
    </x:row>
    <x:row r="33">
      <x:c r="A33" s="46" t="str">
        <x:v>同类写字楼门店数</x:v>
      </x:c>
      <x:c r="B33" s="47" t="n">
        <x:v>3</x:v>
      </x:c>
      <x:c r="C33" s="46" t="str">
        <x:v>整数</x:v>
      </x:c>
      <x:c r="D33" s="36" t="str">
        <x:v>品牌已运营的同类办公项目门店</x:v>
      </x:c>
    </x:row>
    <x:row r="34">
      <x:c r="A34" s="46" t="str">
        <x:v>成熟门店数量</x:v>
      </x:c>
      <x:c r="B34" s="47" t="n">
        <x:v>6</x:v>
      </x:c>
      <x:c r="C34" s="46" t="str">
        <x:v>整数</x:v>
      </x:c>
      <x:c r="D34" s="36" t="str">
        <x:v>开业满 12 个月的可比门店</x:v>
      </x:c>
    </x:row>
    <x:row r="35">
      <x:c r="A35" s="46" t="str">
        <x:v>工作日销售占比(%)</x:v>
      </x:c>
      <x:c r="B35" s="49" t="n">
        <x:v>68</x:v>
      </x:c>
      <x:c r="C35" s="46" t="str">
        <x:v>百分数</x:v>
      </x:c>
      <x:c r="D35" s="36" t="str">
        <x:v>用于判断写字楼客群适配</x:v>
      </x:c>
    </x:row>
    <x:row r="36">
      <x:c r="A36" s="46" t="str">
        <x:v>核心时段销售占比(%)</x:v>
      </x:c>
      <x:c r="B36" s="49" t="n">
        <x:v>55</x:v>
      </x:c>
      <x:c r="C36" s="46" t="str">
        <x:v>百分数</x:v>
      </x:c>
      <x:c r="D36" s="36" t="str">
        <x:v>餐饮填午间，其他业态填主要高峰</x:v>
      </x:c>
    </x:row>
    <x:row r="37">
      <x:c r="A37" s="46" t="str">
        <x:v>自然客流依赖</x:v>
      </x:c>
      <x:c r="B37" s="47" t="str">
        <x:v>中</x:v>
      </x:c>
      <x:c r="C37" s="46" t="str">
        <x:v>下拉选择</x:v>
      </x:c>
      <x:c r="D37" s="36" t="str">
        <x:v>高、中、低</x:v>
      </x:c>
    </x:row>
    <x:row r="38">
      <x:c r="A38" s="46" t="str">
        <x:v>周末独立获客能力</x:v>
      </x:c>
      <x:c r="B38" s="47" t="str">
        <x:v>高</x:v>
      </x:c>
      <x:c r="C38" s="46" t="str">
        <x:v>下拉选择</x:v>
      </x:c>
      <x:c r="D38" s="36" t="str">
        <x:v>高、中、低</x:v>
      </x:c>
    </x:row>
    <x:row r="39" ht="48" customHeight="1">
      <x:c r="A39" s="46" t="str">
        <x:v>差异化定位</x:v>
      </x:c>
      <x:c r="B39" s="47" t="str">
        <x:v>以小龙虾、烧烤和小海鲜组合覆盖团队聚餐、晚餐及夜宵场景，与楼内快餐和饮品形成时段及客群差异。</x:v>
      </x:c>
      <x:c r="C39" s="46" t="str">
        <x:v>文本</x:v>
      </x:c>
      <x:c r="D39" s="36" t="str">
        <x:v>与楼内同业的产品、价格或客群差异</x:v>
      </x:c>
    </x:row>
    <x:row r="40">
      <x:c r="A40" s="43"/>
      <x:c r="B40" s="43"/>
      <x:c r="C40" s="43"/>
      <x:c r="D40" s="43"/>
    </x:row>
    <x:row r="41" ht="25" customHeight="1">
      <x:c r="A41" s="44" t="str">
        <x:v>四、工程与开店条件</x:v>
      </x:c>
      <x:c r="B41" s="44"/>
      <x:c r="C41" s="44"/>
      <x:c r="D41" s="44"/>
    </x:row>
    <x:row r="42">
      <x:c r="A42" s="45" t="str">
        <x:v>字段</x:v>
      </x:c>
      <x:c r="B42" s="45" t="str">
        <x:v>填写内容</x:v>
      </x:c>
      <x:c r="C42" s="45" t="str">
        <x:v>单位/格式</x:v>
      </x:c>
      <x:c r="D42" s="45" t="str">
        <x:v>填写说明</x:v>
      </x:c>
    </x:row>
    <x:row r="43">
      <x:c r="A43" s="46" t="str">
        <x:v>给排水</x:v>
      </x:c>
      <x:c r="B43" s="47" t="str">
        <x:v>需要</x:v>
      </x:c>
      <x:c r="C43" s="46" t="str">
        <x:v>下拉选择</x:v>
      </x:c>
      <x:c r="D43" s="36" t="str">
        <x:v>需要、不需要</x:v>
      </x:c>
    </x:row>
    <x:row r="44">
      <x:c r="A44" s="46" t="str">
        <x:v>排烟</x:v>
      </x:c>
      <x:c r="B44" s="47" t="str">
        <x:v>需要</x:v>
      </x:c>
      <x:c r="C44" s="46" t="str">
        <x:v>下拉选择</x:v>
      </x:c>
      <x:c r="D44" s="36" t="str">
        <x:v>需要、不需要</x:v>
      </x:c>
    </x:row>
    <x:row r="45">
      <x:c r="A45" s="46" t="str">
        <x:v>燃气</x:v>
      </x:c>
      <x:c r="B45" s="47" t="str">
        <x:v>需要</x:v>
      </x:c>
      <x:c r="C45" s="46" t="str">
        <x:v>下拉选择</x:v>
      </x:c>
      <x:c r="D45" s="36" t="str">
        <x:v>需要、不需要</x:v>
      </x:c>
    </x:row>
    <x:row r="46">
      <x:c r="A46" s="46" t="str">
        <x:v>电力需求(kW)</x:v>
      </x:c>
      <x:c r="B46" s="47" t="n">
        <x:v>160</x:v>
      </x:c>
      <x:c r="C46" s="46" t="str">
        <x:v>数值</x:v>
      </x:c>
      <x:c r="D46" s="36" t="str">
        <x:v>峰值用电需求</x:v>
      </x:c>
    </x:row>
    <x:row r="47">
      <x:c r="A47" s="46" t="str">
        <x:v>楼板承重要求(kg/㎡)</x:v>
      </x:c>
      <x:c r="B47" s="47" t="n">
        <x:v>350</x:v>
      </x:c>
      <x:c r="C47" s="46" t="str">
        <x:v>数值</x:v>
      </x:c>
      <x:c r="D47" s="36" t="str">
        <x:v>健身及重设备业态重点填写</x:v>
      </x:c>
    </x:row>
    <x:row r="48" ht="48" customHeight="1">
      <x:c r="A48" s="46" t="str">
        <x:v>消防特殊要求</x:v>
      </x:c>
      <x:c r="B48" s="47" t="str">
        <x:v>明火餐饮，需复核燃气报警、排烟补风、喷淋、疏散距离及人员密度。</x:v>
      </x:c>
      <x:c r="C48" s="46" t="str">
        <x:v>文本</x:v>
      </x:c>
      <x:c r="D48" s="36" t="str">
        <x:v>例如喷淋、疏散、人员密度</x:v>
      </x:c>
    </x:row>
    <x:row r="49">
      <x:c r="A49" s="46" t="str">
        <x:v>营业时间</x:v>
      </x:c>
      <x:c r="B49" s="47" t="str">
        <x:v>11:00-24:00</x:v>
      </x:c>
      <x:c r="C49" s="46" t="str">
        <x:v>文本</x:v>
      </x:c>
      <x:c r="D49" s="36" t="str">
        <x:v>例如 07:00-22:00</x:v>
      </x:c>
    </x:row>
    <x:row r="50">
      <x:c r="A50" s="46" t="str">
        <x:v>工程改造预算(万元)</x:v>
      </x:c>
      <x:c r="B50" s="47" t="n">
        <x:v>45</x:v>
      </x:c>
      <x:c r="C50" s="46" t="str">
        <x:v>数值</x:v>
      </x:c>
      <x:c r="D50" s="36" t="str">
        <x:v>由品牌或项目承担请在备注说明</x:v>
      </x:c>
    </x:row>
    <x:row r="51">
      <x:c r="A51" s="46" t="str">
        <x:v>预计开业日期</x:v>
      </x:c>
      <x:c r="B51" s="48" t="n">
        <x:v>46341</x:v>
      </x:c>
      <x:c r="C51" s="46" t="str">
        <x:v>日期</x:v>
      </x:c>
      <x:c r="D51" s="36" t="str">
        <x:v>计划开业时间</x:v>
      </x:c>
    </x:row>
    <x:row r="52">
      <x:c r="A52" s="43"/>
      <x:c r="B52" s="43"/>
      <x:c r="C52" s="43"/>
      <x:c r="D52" s="43"/>
    </x:row>
    <x:row r="53" ht="25" customHeight="1">
      <x:c r="A53" s="44" t="str">
        <x:v>五、竞争、谈判与风险</x:v>
      </x:c>
      <x:c r="B53" s="44"/>
      <x:c r="C53" s="44"/>
      <x:c r="D53" s="44"/>
    </x:row>
    <x:row r="54">
      <x:c r="A54" s="45" t="str">
        <x:v>字段</x:v>
      </x:c>
      <x:c r="B54" s="45" t="str">
        <x:v>填写内容</x:v>
      </x:c>
      <x:c r="C54" s="45" t="str">
        <x:v>单位/格式</x:v>
      </x:c>
      <x:c r="D54" s="45" t="str">
        <x:v>填写说明</x:v>
      </x:c>
    </x:row>
    <x:row r="55" ht="48" customHeight="1">
      <x:c r="A55" s="46" t="str">
        <x:v>周边竞争说明</x:v>
      </x:c>
      <x:c r="B55" s="47" t="str">
        <x:v>以中关村2公里餐饮商圈为重点，比较小龙虾、烧烤、海鲜和夜宵门店；具体门店数量需在高德地图实时复核。</x:v>
      </x:c>
      <x:c r="C55" s="46" t="str">
        <x:v>文本</x:v>
      </x:c>
      <x:c r="D55" s="36" t="str">
        <x:v>高德搜索范围、主要竞品及距离</x:v>
      </x:c>
    </x:row>
    <x:row r="56" ht="48" customHeight="1">
      <x:c r="A56" s="46" t="str">
        <x:v>主要风险</x:v>
      </x:c>
      <x:c r="B56" s="47" t="str">
        <x:v>晚餐和夜宵占比较高，与写字楼午间主客流存在时段差异；同时关注海鲜季节性、食品安全、油烟噪声及夜间经营影响。</x:v>
      </x:c>
      <x:c r="C56" s="46" t="str">
        <x:v>文本</x:v>
      </x:c>
      <x:c r="D56" s="36" t="str">
        <x:v>经营、品牌、财务、工程等风险</x:v>
      </x:c>
    </x:row>
    <x:row r="57" ht="48" customHeight="1">
      <x:c r="A57" s="46" t="str">
        <x:v>谈判前置条件</x:v>
      </x:c>
      <x:c r="B57" s="47" t="str">
        <x:v>建议争取90天装修免租期；租售比按餐饮20%关注线控制；排烟、燃气、夜间营业及垃圾清运条件必须写入租赁附件。</x:v>
      </x:c>
      <x:c r="C57" s="46" t="str">
        <x:v>文本</x:v>
      </x:c>
      <x:c r="D57" s="36" t="str">
        <x:v>免租期、递增、抽成、保护条款等</x:v>
      </x:c>
    </x:row>
    <x:row r="58" ht="48" customHeight="1">
      <x:c r="A58" s="46" t="str">
        <x:v>审批备注</x:v>
      </x:c>
      <x:c r="B58" s="47" t="str">
        <x:v>建议条件引入：基准情景经营利润为正、工程踏勘通过且租金不突破餐饮租售比关注线后进入正式审批。</x:v>
      </x:c>
      <x:c r="C58" s="46" t="str">
        <x:v>文本</x:v>
      </x:c>
      <x:c r="D58" s="36" t="str">
        <x:v>需管理层关注或决策的事项</x:v>
      </x:c>
    </x:row>
    <x:row r="59" ht="48" customHeight="1">
      <x:c r="A59" s="46" t="str">
        <x:v>其他备注</x:v>
      </x:c>
      <x:c r="B59" s="47" t="str">
        <x:v>本文件全部经营数据均为招商测算示例，不代表品牌官方数据或门店真实经营结果，正式决策前必须由品牌方提供凭证并复核。</x:v>
      </x:c>
      <x:c r="C59" s="46" t="str">
        <x:v>文本</x:v>
      </x:c>
      <x:c r="D59" s="36" t="str">
        <x:v>其他补充信息</x:v>
      </x:c>
    </x:row>
    <x:row r="60">
      <x:c r="A60" s="43"/>
      <x:c r="B60" s="43"/>
      <x:c r="C60" s="43"/>
      <x:c r="D60" s="43"/>
    </x:row>
  </x:sheetData>
  <x:mergeCells>
    <x:mergeCell ref="A1:D1"/>
    <x:mergeCell ref="A2:D2"/>
    <x:mergeCell ref="A5:D5"/>
    <x:mergeCell ref="A7:D7"/>
    <x:mergeCell ref="A18:D18"/>
    <x:mergeCell ref="A31:D31"/>
    <x:mergeCell ref="A41:D41"/>
    <x:mergeCell ref="A53:D53"/>
  </x:mergeCells>
  <x:dataValidations count="4">
    <x:dataValidation type="list" sqref="B12">
      <x:formula1>"餐饮,服务配套,零售,休闲娱乐"</x:formula1>
    </x:dataValidation>
    <x:dataValidation type="list" sqref="B13">
      <x:formula1>"商务餐,饮品,正餐,快餐,烘焙,服务配套,零售,休闲娱乐"</x:formula1>
    </x:dataValidation>
    <x:dataValidation type="list" sqref="B37:B38">
      <x:formula1>"高,中,低"</x:formula1>
    </x:dataValidation>
    <x:dataValidation type="list" sqref="B43:B45">
      <x:formula1>"需要,不需要"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59" t="str">
        <x:v>招商财务测算预览</x:v>
      </x:c>
      <x:c r="B1" s="59"/>
      <x:c r="C1" s="59"/>
      <x:c r="D1" s="59"/>
      <x:c r="E1" s="59"/>
      <x:c r="F1" s="59"/>
    </x:row>
    <x:row r="2">
      <x:c r="A2" s="60" t="str">
        <x:v>此页自动引用“品牌招商资料”，用于填写时自查；网站会结合飞书楼内数据生成更完整报告。</x:v>
      </x:c>
      <x:c r="B2" s="60"/>
      <x:c r="C2" s="60"/>
      <x:c r="D2" s="60"/>
      <x:c r="E2" s="60"/>
      <x:c r="F2" s="60"/>
    </x:row>
    <x:row r="3">
      <x:c r="A3" s="31"/>
      <x:c r="B3" s="31"/>
      <x:c r="C3" s="31"/>
      <x:c r="D3" s="31"/>
      <x:c r="E3" s="31"/>
      <x:c r="F3" s="31"/>
    </x:row>
    <x:row r="4">
      <x:c r="A4" s="61" t="str">
        <x:v>情景</x:v>
      </x:c>
      <x:c r="B4" s="61" t="str">
        <x:v>月销售(万元)</x:v>
      </x:c>
      <x:c r="C4" s="61" t="str">
        <x:v>经营利润(万元)</x:v>
      </x:c>
      <x:c r="D4" s="61" t="str">
        <x:v>租售比</x:v>
      </x:c>
      <x:c r="E4" s="61" t="str">
        <x:v>投资回收期(月)</x:v>
      </x:c>
      <x:c r="F4" s="61" t="str">
        <x:v>财务判断</x:v>
      </x:c>
    </x:row>
    <x:row r="5">
      <x:c r="A5" s="62" t="str">
        <x:v>保守</x:v>
      </x:c>
      <x:c r="B5" s="63" t="n">
        <x:f>'品牌招商资料'!B20</x:f>
        <x:v>65</x:v>
      </x:c>
      <x:c r="C5" s="63" t="n">
        <x:f>IFERROR(B5*'品牌招商资料'!$B$24/100-'品牌招商资料'!$B$25-'品牌招商资料'!$B$23,0)</x:f>
        <x:v>-3.200000000000003</x:v>
      </x:c>
      <x:c r="D5" s="64" t="n">
        <x:f>IFERROR('品牌招商资料'!$B$23/B5,0)</x:f>
        <x:v>0.2230769230769231</x:v>
      </x:c>
      <x:c r="E5" s="65" t="n">
        <x:f>IF(C5&gt;0,'品牌招商资料'!$B$26/C5,0)</x:f>
        <x:v>0</x:v>
      </x:c>
      <x:c r="F5" s="62" t="str">
        <x:f>IF(B5=0,"待填写",IF(D5&lt;=20%,"可接受",IF(D5&lt;30%,"需关注","高风险")))</x:f>
        <x:v>需关注</x:v>
      </x:c>
    </x:row>
    <x:row r="6">
      <x:c r="A6" s="62" t="str">
        <x:v>基准</x:v>
      </x:c>
      <x:c r="B6" s="63" t="n">
        <x:f>'品牌招商资料'!B21</x:f>
        <x:v>82</x:v>
      </x:c>
      <x:c r="C6" s="63" t="n">
        <x:f>IFERROR(B6*'品牌招商资料'!$B$24/100-'品牌招商资料'!$B$25-'品牌招商资料'!$B$23,0)</x:f>
        <x:v>7.340000000000003</x:v>
      </x:c>
      <x:c r="D6" s="64" t="n">
        <x:f>IFERROR('品牌招商资料'!$B$23/B6,0)</x:f>
        <x:v>0.17682926829268292</x:v>
      </x:c>
      <x:c r="E6" s="65" t="n">
        <x:f>IF(C6&gt;0,'品牌招商资料'!$B$26/C6,0)</x:f>
        <x:v>21.798365122615795</x:v>
      </x:c>
      <x:c r="F6" s="62" t="str">
        <x:f>IF(B6=0,"待填写",IF(D6&lt;=20%,"可接受",IF(D6&lt;30%,"需关注","高风险")))</x:f>
        <x:v>可接受</x:v>
      </x:c>
    </x:row>
    <x:row r="7">
      <x:c r="A7" s="62" t="str">
        <x:v>乐观</x:v>
      </x:c>
      <x:c r="B7" s="63" t="n">
        <x:f>'品牌招商资料'!B22</x:f>
        <x:v>100</x:v>
      </x:c>
      <x:c r="C7" s="63" t="n">
        <x:f>IFERROR(B7*'品牌招商资料'!$B$24/100-'品牌招商资料'!$B$25-'品牌招商资料'!$B$23,0)</x:f>
        <x:v>18.5</x:v>
      </x:c>
      <x:c r="D7" s="64" t="n">
        <x:f>IFERROR('品牌招商资料'!$B$23/B7,0)</x:f>
        <x:v>0.145</x:v>
      </x:c>
      <x:c r="E7" s="65" t="n">
        <x:f>IF(C7&gt;0,'品牌招商资料'!$B$26/C7,0)</x:f>
        <x:v>8.64864864864865</x:v>
      </x:c>
      <x:c r="F7" s="62" t="str">
        <x:f>IF(B7=0,"待填写",IF(D7&lt;=20%,"可接受",IF(D7&lt;30%,"需关注","高风险")))</x:f>
        <x:v>可接受</x:v>
      </x:c>
    </x:row>
    <x:row r="8">
      <x:c r="A8" s="31"/>
      <x:c r="B8" s="31"/>
      <x:c r="C8" s="31"/>
      <x:c r="D8" s="31"/>
      <x:c r="E8" s="31"/>
      <x:c r="F8" s="31"/>
    </x:row>
    <x:row r="9">
      <x:c r="A9" s="66" t="str">
        <x:v>核心指标</x:v>
      </x:c>
      <x:c r="B9" s="66" t="str">
        <x:v>结果</x:v>
      </x:c>
      <x:c r="C9" s="31"/>
      <x:c r="D9" s="31"/>
      <x:c r="E9" s="31"/>
      <x:c r="F9" s="31"/>
    </x:row>
    <x:row r="10">
      <x:c r="A10" s="67" t="str">
        <x:v>盈亏平衡月销售</x:v>
      </x:c>
      <x:c r="B10" s="68" t="n">
        <x:f>IFERROR(('品牌招商资料'!B25+'品牌招商资料'!B23)/('品牌招商资料'!B24/100),0)</x:f>
        <x:v>70.16129032258064</x:v>
      </x:c>
      <x:c r="C10" s="31"/>
      <x:c r="D10" s="31"/>
      <x:c r="E10" s="31"/>
      <x:c r="F10" s="31"/>
    </x:row>
    <x:row r="11">
      <x:c r="A11" s="67" t="str">
        <x:v>基准月租售比</x:v>
      </x:c>
      <x:c r="B11" s="69" t="n">
        <x:f>D6</x:f>
        <x:v>0.17682926829268292</x:v>
      </x:c>
      <x:c r="C11" s="31"/>
      <x:c r="D11" s="31"/>
      <x:c r="E11" s="31"/>
      <x:c r="F11" s="31"/>
    </x:row>
    <x:row r="12">
      <x:c r="A12" s="67" t="str">
        <x:v>基准月经营利润</x:v>
      </x:c>
      <x:c r="B12" s="68" t="n">
        <x:f>C6</x:f>
        <x:v>7.340000000000003</x:v>
      </x:c>
      <x:c r="C12" s="31"/>
      <x:c r="D12" s="31"/>
      <x:c r="E12" s="31"/>
      <x:c r="F12" s="31"/>
    </x:row>
    <x:row r="13">
      <x:c r="A13" s="67" t="str">
        <x:v>基准投资回收期</x:v>
      </x:c>
      <x:c r="B13" s="68" t="n">
        <x:f>E6</x:f>
        <x:v>21.798365122615795</x:v>
      </x:c>
      <x:c r="C13" s="31"/>
      <x:c r="D13" s="31"/>
      <x:c r="E13" s="31"/>
      <x:c r="F13" s="31"/>
    </x:row>
    <x:row r="14">
      <x:c r="A14" s="31"/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</x:sheetData>
  <x:mergeCells>
    <x:mergeCell ref="A1:F1"/>
    <x:mergeCell ref="A2:F2"/>
  </x:mergeCells>
  <x:pageMargins left="0.7" right="0.7" top="0.75" bottom="0.75" header="0.3" footer="0.3"/>
</x:worksheet>
</file>